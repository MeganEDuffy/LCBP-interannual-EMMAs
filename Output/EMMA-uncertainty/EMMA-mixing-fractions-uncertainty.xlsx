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 Table 2. Hungerfod Feb ROS" sheetId="1" state="visible" r:id="rId3"/>
    <sheet name="S Table 3 Hungerford March ther" sheetId="2" state="visible" r:id="rId4"/>
    <sheet name="S Table 4 Hungerford spring mel" sheetId="3" state="visible" r:id="rId5"/>
    <sheet name="S Table 5 Wade Feb ROS" sheetId="4" state="visible" r:id="rId6"/>
    <sheet name="S Table 6 Wade March thermal" sheetId="5" state="visible" r:id="rId7"/>
    <sheet name="S Table 7 Wade spring melt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<sst xmlns="http://schemas.openxmlformats.org/spreadsheetml/2006/main" count="270" uniqueCount="141">
  <si>
    <t xml:space="preserve">Sample ID</t>
  </si>
  <si>
    <t xml:space="preserve">Datetime</t>
  </si>
  <si>
    <t xml:space="preserve">Site</t>
  </si>
  <si>
    <t xml:space="preserve">Groundwater fraction</t>
  </si>
  <si>
    <t xml:space="preserve">Meltwater fraction</t>
  </si>
  <si>
    <t xml:space="preserve">Soil water lysimeter fraction</t>
  </si>
  <si>
    <t xml:space="preserve">Groundwater_Uncertainty_95</t>
  </si>
  <si>
    <t xml:space="preserve">Meltwater_Uncertainty_95</t>
  </si>
  <si>
    <t xml:space="preserve">Soil water lysimeter_Uncertainty_95</t>
  </si>
  <si>
    <t xml:space="preserve">RI23-1002</t>
  </si>
  <si>
    <t xml:space="preserve">2023-02-09 16:00:00</t>
  </si>
  <si>
    <t xml:space="preserve">Hungerford</t>
  </si>
  <si>
    <t xml:space="preserve">RI23-1003</t>
  </si>
  <si>
    <t xml:space="preserve">2023-02-09 22:00:00</t>
  </si>
  <si>
    <t xml:space="preserve">RI23-1005</t>
  </si>
  <si>
    <t xml:space="preserve">2023-02-10 10:00:00</t>
  </si>
  <si>
    <t xml:space="preserve">RI23-1007</t>
  </si>
  <si>
    <t xml:space="preserve">2023-02-10 16:00:00</t>
  </si>
  <si>
    <t xml:space="preserve">RI23-1008</t>
  </si>
  <si>
    <t xml:space="preserve">2023-02-11 12:30:00</t>
  </si>
  <si>
    <t xml:space="preserve">Groundwater</t>
  </si>
  <si>
    <t xml:space="preserve">Snowmelt lysimeter</t>
  </si>
  <si>
    <t xml:space="preserve">Soil water lysimeter</t>
  </si>
  <si>
    <t xml:space="preserve">Groundwater_Uncertainty_95sig</t>
  </si>
  <si>
    <t xml:space="preserve">Snowmelt lysimeter_Uncertainty_95sig</t>
  </si>
  <si>
    <t xml:space="preserve">Soil water lysimeter_Uncertainty_95sig</t>
  </si>
  <si>
    <t xml:space="preserve">9.640563e-15</t>
  </si>
  <si>
    <t xml:space="preserve">8.545576e-01</t>
  </si>
  <si>
    <t xml:space="preserve">2.742405e+00</t>
  </si>
  <si>
    <t xml:space="preserve">3.507713e-07</t>
  </si>
  <si>
    <t xml:space="preserve">-1.182702e-15</t>
  </si>
  <si>
    <t xml:space="preserve">6.067480e-01</t>
  </si>
  <si>
    <t xml:space="preserve">2.498535e+01</t>
  </si>
  <si>
    <t xml:space="preserve">2.442710e+01</t>
  </si>
  <si>
    <t xml:space="preserve">3.885781e-16</t>
  </si>
  <si>
    <t xml:space="preserve">3.164136e-15</t>
  </si>
  <si>
    <t xml:space="preserve">1.827733e+01</t>
  </si>
  <si>
    <t xml:space="preserve">1.785753e+01</t>
  </si>
  <si>
    <t xml:space="preserve">-1.928295e-16</t>
  </si>
  <si>
    <t xml:space="preserve">4.232444e-02</t>
  </si>
  <si>
    <t xml:space="preserve">2.672211e-04</t>
  </si>
  <si>
    <t xml:space="preserve">2.399861e-04</t>
  </si>
  <si>
    <t xml:space="preserve">NaN</t>
  </si>
  <si>
    <t xml:space="preserve">9.036609e-09</t>
  </si>
  <si>
    <t xml:space="preserve">3.649435e+00</t>
  </si>
  <si>
    <t xml:space="preserve">RI23-1035</t>
  </si>
  <si>
    <t xml:space="preserve">2023-03-22 15:00:00</t>
  </si>
  <si>
    <t xml:space="preserve">RI23-1036</t>
  </si>
  <si>
    <t xml:space="preserve">2023-03-22 18:00:00</t>
  </si>
  <si>
    <t xml:space="preserve">RI23-1037</t>
  </si>
  <si>
    <t xml:space="preserve">2023-03-23 00:00:00</t>
  </si>
  <si>
    <t xml:space="preserve">RI23-1038</t>
  </si>
  <si>
    <t xml:space="preserve">2023-03-23 06:00:00</t>
  </si>
  <si>
    <t xml:space="preserve">RI23-1042</t>
  </si>
  <si>
    <t xml:space="preserve">2023-03-23 12:00:00</t>
  </si>
  <si>
    <t xml:space="preserve">RI23-1043</t>
  </si>
  <si>
    <t xml:space="preserve">2023-03-23 18:00:00</t>
  </si>
  <si>
    <t xml:space="preserve">RI23-1044</t>
  </si>
  <si>
    <t xml:space="preserve">2023-03-24 00:00:00</t>
  </si>
  <si>
    <t xml:space="preserve">RI23-1045</t>
  </si>
  <si>
    <t xml:space="preserve">2023-03-24 06:00:00</t>
  </si>
  <si>
    <t xml:space="preserve">RI23-1046</t>
  </si>
  <si>
    <t xml:space="preserve">2023-03-24 12:00:00</t>
  </si>
  <si>
    <t xml:space="preserve">RI23-1047</t>
  </si>
  <si>
    <t xml:space="preserve">2023-03-24 15:45:00</t>
  </si>
  <si>
    <t xml:space="preserve">Meltwater_Uncertainty_95sig</t>
  </si>
  <si>
    <t xml:space="preserve">RI23-1085</t>
  </si>
  <si>
    <t xml:space="preserve">2023-03-31 14:00:00</t>
  </si>
  <si>
    <t xml:space="preserve">RI23-1086</t>
  </si>
  <si>
    <t xml:space="preserve">2023-03-31 20:00:00</t>
  </si>
  <si>
    <t xml:space="preserve">RI23-1087</t>
  </si>
  <si>
    <t xml:space="preserve">2023-04-01 02:00:00</t>
  </si>
  <si>
    <t xml:space="preserve">RI23-1088</t>
  </si>
  <si>
    <t xml:space="preserve">2023-04-01 08:00:00</t>
  </si>
  <si>
    <t xml:space="preserve">RI23-1089</t>
  </si>
  <si>
    <t xml:space="preserve">2023-04-01 14:00:00</t>
  </si>
  <si>
    <t xml:space="preserve">RI23-1091</t>
  </si>
  <si>
    <t xml:space="preserve">2023-04-02 02:00:00</t>
  </si>
  <si>
    <t xml:space="preserve">RI23-1009</t>
  </si>
  <si>
    <t xml:space="preserve">2023-02-15 15:00:00</t>
  </si>
  <si>
    <t xml:space="preserve">Wade</t>
  </si>
  <si>
    <t xml:space="preserve">RI23-1010</t>
  </si>
  <si>
    <t xml:space="preserve">2023-02-15 19:00:00</t>
  </si>
  <si>
    <t xml:space="preserve">RI23-1011</t>
  </si>
  <si>
    <t xml:space="preserve">2023-02-15 23:00:00</t>
  </si>
  <si>
    <t xml:space="preserve">RI23-1025</t>
  </si>
  <si>
    <t xml:space="preserve">2023-02-15 12:00:00</t>
  </si>
  <si>
    <t xml:space="preserve">RI23-1012</t>
  </si>
  <si>
    <t xml:space="preserve">2023-02-16 03:00:00</t>
  </si>
  <si>
    <t xml:space="preserve">RI23-1014</t>
  </si>
  <si>
    <t xml:space="preserve">2023-02-16 11:00:00</t>
  </si>
  <si>
    <t xml:space="preserve">RI23-1028</t>
  </si>
  <si>
    <t xml:space="preserve">2023-02-16 14:00:00</t>
  </si>
  <si>
    <t xml:space="preserve">RI23-1029</t>
  </si>
  <si>
    <t xml:space="preserve">2023-02-16 20:00:00</t>
  </si>
  <si>
    <t xml:space="preserve">RI23-1030</t>
  </si>
  <si>
    <t xml:space="preserve">2023-02-17 02:00:00</t>
  </si>
  <si>
    <t xml:space="preserve">RI23-1031</t>
  </si>
  <si>
    <t xml:space="preserve">2023-02-17 08:00:00</t>
  </si>
  <si>
    <t xml:space="preserve">RI23-1032</t>
  </si>
  <si>
    <t xml:space="preserve">2023-02-17 11:30:00</t>
  </si>
  <si>
    <t xml:space="preserve">RI23-1039</t>
  </si>
  <si>
    <t xml:space="preserve">RI23-1040</t>
  </si>
  <si>
    <t xml:space="preserve">RI23-1041</t>
  </si>
  <si>
    <t xml:space="preserve">RI23-1058</t>
  </si>
  <si>
    <t xml:space="preserve">RI23-1059</t>
  </si>
  <si>
    <t xml:space="preserve">RI23-1064</t>
  </si>
  <si>
    <t xml:space="preserve">2023-03-31 08:00:00</t>
  </si>
  <si>
    <t xml:space="preserve">RI23-1065</t>
  </si>
  <si>
    <t xml:space="preserve">RI23-1066</t>
  </si>
  <si>
    <t xml:space="preserve">RI23-1067</t>
  </si>
  <si>
    <t xml:space="preserve">RI23-1068</t>
  </si>
  <si>
    <t xml:space="preserve">RI23-1070</t>
  </si>
  <si>
    <t xml:space="preserve">2023-04-01 20:00:00</t>
  </si>
  <si>
    <t xml:space="preserve">RI23-1071</t>
  </si>
  <si>
    <t xml:space="preserve">RI23-1072</t>
  </si>
  <si>
    <t xml:space="preserve">2023-04-02 08:00:00</t>
  </si>
  <si>
    <t xml:space="preserve">RI23-1073</t>
  </si>
  <si>
    <t xml:space="preserve">2023-04-02 14:00:00</t>
  </si>
  <si>
    <t xml:space="preserve">RI23-1074</t>
  </si>
  <si>
    <t xml:space="preserve">2023-04-02 20:00:00</t>
  </si>
  <si>
    <t xml:space="preserve">RI23-1075</t>
  </si>
  <si>
    <t xml:space="preserve">2023-04-03 02:00:00</t>
  </si>
  <si>
    <t xml:space="preserve">RI23-1077</t>
  </si>
  <si>
    <t xml:space="preserve">2023-04-03 14:00:00</t>
  </si>
  <si>
    <t xml:space="preserve">RI23-1078</t>
  </si>
  <si>
    <t xml:space="preserve">2023-04-03 22:00:00</t>
  </si>
  <si>
    <t xml:space="preserve">RI23-1080</t>
  </si>
  <si>
    <t xml:space="preserve">2023-04-04 14:00:00</t>
  </si>
  <si>
    <t xml:space="preserve">RI23-1093</t>
  </si>
  <si>
    <t xml:space="preserve">2023-04-10 06:00:00</t>
  </si>
  <si>
    <t xml:space="preserve">RI23-1094</t>
  </si>
  <si>
    <t xml:space="preserve">2023-04-10 12:00:00</t>
  </si>
  <si>
    <t xml:space="preserve">RI23-1095</t>
  </si>
  <si>
    <t xml:space="preserve">2023-04-10 18:00:00</t>
  </si>
  <si>
    <t xml:space="preserve">RI23-1097</t>
  </si>
  <si>
    <t xml:space="preserve">2023-04-11 06:00:00</t>
  </si>
  <si>
    <t xml:space="preserve">RI23-1100</t>
  </si>
  <si>
    <t xml:space="preserve">2023-04-11 16:00:00</t>
  </si>
  <si>
    <t xml:space="preserve">RI23-1101</t>
  </si>
  <si>
    <t xml:space="preserve">2023-04-12 00:00:00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</si>
</sst>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#,##0.000000000"/>
    <numFmt numFmtId="167" formatCode="0.0000000"/>
  </numFmts>
  <fonts count="7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Times New Roman"/>
      <family val="1"/>
    </font>
    <font>
      <sz val="10"/>
      <name val="Times New Roman"/>
      <family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G19" activeCellId="0" sqref="G19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16.6"/>
    <col collapsed="false" customWidth="true" hidden="false" outlineLevel="0" max="3" min="3" style="0" width="18.25"/>
    <col collapsed="false" customWidth="true" hidden="false" outlineLevel="0" max="4" min="4" style="0" width="17.82"/>
    <col collapsed="false" customWidth="true" hidden="false" outlineLevel="0" max="5" min="5" style="0" width="17.04"/>
    <col collapsed="false" customWidth="true" hidden="false" outlineLevel="0" max="8" min="8" style="0" width="11.73"/>
  </cols>
  <sheetData>
    <row r="1" customFormat="false" ht="35.4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3.05" hidden="false" customHeight="false" outlineLevel="0" collapsed="false">
      <c r="A2" s="2" t="s">
        <v>9</v>
      </c>
      <c r="B2" s="3" t="s">
        <v>10</v>
      </c>
      <c r="C2" s="2" t="s">
        <v>11</v>
      </c>
      <c r="D2" s="4" t="n">
        <v>1</v>
      </c>
      <c r="E2" s="4" t="n">
        <v>-1.27675647831893E-015</v>
      </c>
      <c r="F2" s="4" t="n">
        <v>-5.55111512312578E-017</v>
      </c>
      <c r="G2" s="5" t="n">
        <v>0.857032</v>
      </c>
      <c r="H2" s="5" t="n">
        <v>0.8570319</v>
      </c>
      <c r="I2" s="5" t="n">
        <v>0.1096167</v>
      </c>
    </row>
    <row r="3" customFormat="false" ht="13.05" hidden="false" customHeight="false" outlineLevel="0" collapsed="false">
      <c r="A3" s="2" t="s">
        <v>12</v>
      </c>
      <c r="B3" s="3" t="s">
        <v>13</v>
      </c>
      <c r="C3" s="2" t="s">
        <v>11</v>
      </c>
      <c r="D3" s="4" t="n">
        <v>0.999999999999996</v>
      </c>
      <c r="E3" s="4" t="n">
        <v>1.49880108324396E-015</v>
      </c>
      <c r="F3" s="4" t="n">
        <v>2.72004641033163E-015</v>
      </c>
      <c r="G3" s="5" t="n">
        <v>0.529639</v>
      </c>
      <c r="H3" s="5" t="n">
        <v>0.7808148</v>
      </c>
      <c r="I3" s="5" t="n">
        <v>0.7633676</v>
      </c>
    </row>
    <row r="4" customFormat="false" ht="13.05" hidden="false" customHeight="false" outlineLevel="0" collapsed="false">
      <c r="A4" s="2" t="s">
        <v>14</v>
      </c>
      <c r="B4" s="3" t="s">
        <v>15</v>
      </c>
      <c r="C4" s="2" t="s">
        <v>11</v>
      </c>
      <c r="D4" s="4" t="n">
        <v>0.450085108256365</v>
      </c>
      <c r="E4" s="4" t="n">
        <v>0.083167661763258</v>
      </c>
      <c r="F4" s="4" t="n">
        <v>0.466747229980377</v>
      </c>
      <c r="G4" s="5" t="n">
        <v>0.605368</v>
      </c>
      <c r="H4" s="5" t="n">
        <v>0.5711969</v>
      </c>
      <c r="I4" s="5" t="n">
        <v>0.5580757</v>
      </c>
    </row>
    <row r="5" customFormat="false" ht="13.05" hidden="false" customHeight="false" outlineLevel="0" collapsed="false">
      <c r="A5" s="2" t="s">
        <v>16</v>
      </c>
      <c r="B5" s="3" t="s">
        <v>17</v>
      </c>
      <c r="C5" s="2" t="s">
        <v>11</v>
      </c>
      <c r="D5" s="4" t="n">
        <v>9.99200722162641E-016</v>
      </c>
      <c r="E5" s="4" t="n">
        <v>0.727002501487731</v>
      </c>
      <c r="F5" s="4" t="n">
        <v>0.272997498512268</v>
      </c>
      <c r="G5" s="5" t="n">
        <v>0.000158</v>
      </c>
      <c r="H5" s="5" t="n">
        <v>0.8350712</v>
      </c>
      <c r="I5" s="5" t="n">
        <v>0.7499614</v>
      </c>
    </row>
    <row r="6" customFormat="false" ht="13.05" hidden="false" customHeight="false" outlineLevel="0" collapsed="false">
      <c r="A6" s="2" t="s">
        <v>18</v>
      </c>
      <c r="B6" s="3" t="s">
        <v>19</v>
      </c>
      <c r="C6" s="2" t="s">
        <v>11</v>
      </c>
      <c r="D6" s="4" t="n">
        <v>0.063693021432492</v>
      </c>
      <c r="E6" s="4" t="n">
        <v>0.138871796000186</v>
      </c>
      <c r="F6" s="4" t="n">
        <v>0.797435182567322</v>
      </c>
      <c r="G6" s="5" t="n">
        <v>1.140458</v>
      </c>
      <c r="H6" s="5" t="n">
        <v>0.2823941</v>
      </c>
      <c r="I6" s="5" t="n">
        <v>0.1140458</v>
      </c>
    </row>
    <row r="7" customFormat="false" ht="12.8" hidden="false" customHeight="false" outlineLevel="0" collapsed="false">
      <c r="A7" s="2"/>
      <c r="C7" s="3"/>
      <c r="D7" s="3"/>
      <c r="E7" s="2"/>
      <c r="F7" s="3"/>
    </row>
    <row r="8" customFormat="false" ht="12.8" hidden="false" customHeight="false" outlineLevel="0" collapsed="false">
      <c r="A8" s="2"/>
      <c r="C8" s="2"/>
      <c r="D8" s="2"/>
      <c r="E8" s="2"/>
      <c r="F8" s="3"/>
    </row>
    <row r="9" customFormat="false" ht="46.6" hidden="false" customHeight="false" outlineLevel="0" collapsed="false">
      <c r="A9" s="1" t="s">
        <v>0</v>
      </c>
      <c r="B9" s="1" t="s">
        <v>1</v>
      </c>
      <c r="C9" s="1" t="s">
        <v>2</v>
      </c>
      <c r="D9" s="1" t="s">
        <v>20</v>
      </c>
      <c r="E9" s="1" t="s">
        <v>21</v>
      </c>
      <c r="F9" s="1" t="s">
        <v>22</v>
      </c>
      <c r="G9" s="1" t="s">
        <v>23</v>
      </c>
      <c r="H9" s="1" t="s">
        <v>24</v>
      </c>
      <c r="I9" s="1" t="s">
        <v>25</v>
      </c>
    </row>
    <row r="10" customFormat="false" ht="12.8" hidden="false" customHeight="false" outlineLevel="0" collapsed="false">
      <c r="A10" s="2" t="s">
        <v>14</v>
      </c>
      <c r="B10" s="3" t="s">
        <v>15</v>
      </c>
      <c r="C10" s="2" t="s">
        <v>11</v>
      </c>
      <c r="D10" s="2" t="n">
        <v>0.145442</v>
      </c>
      <c r="E10" s="3" t="s">
        <v>26</v>
      </c>
      <c r="F10" s="3" t="s">
        <v>27</v>
      </c>
      <c r="G10" s="2" t="n">
        <v>2.742405</v>
      </c>
      <c r="H10" s="3" t="s">
        <v>28</v>
      </c>
      <c r="I10" s="3" t="s">
        <v>29</v>
      </c>
    </row>
    <row r="11" customFormat="false" ht="12.8" hidden="false" customHeight="false" outlineLevel="0" collapsed="false">
      <c r="A11" s="2" t="s">
        <v>16</v>
      </c>
      <c r="B11" s="3" t="s">
        <v>17</v>
      </c>
      <c r="C11" s="2" t="s">
        <v>11</v>
      </c>
      <c r="D11" s="2" t="n">
        <v>0.393252</v>
      </c>
      <c r="E11" s="3" t="s">
        <v>30</v>
      </c>
      <c r="F11" s="3" t="s">
        <v>31</v>
      </c>
      <c r="G11" s="2" t="n">
        <v>1.694802</v>
      </c>
      <c r="H11" s="3" t="s">
        <v>32</v>
      </c>
      <c r="I11" s="3" t="s">
        <v>33</v>
      </c>
    </row>
    <row r="12" customFormat="false" ht="12.8" hidden="false" customHeight="false" outlineLevel="0" collapsed="false">
      <c r="A12" s="2" t="s">
        <v>18</v>
      </c>
      <c r="B12" s="3" t="s">
        <v>19</v>
      </c>
      <c r="C12" s="2" t="s">
        <v>11</v>
      </c>
      <c r="D12" s="2" t="n">
        <v>1</v>
      </c>
      <c r="E12" s="3" t="s">
        <v>34</v>
      </c>
      <c r="F12" s="3" t="s">
        <v>35</v>
      </c>
      <c r="G12" s="2" t="n">
        <v>1.937141</v>
      </c>
      <c r="H12" s="3" t="s">
        <v>36</v>
      </c>
      <c r="I12" s="3" t="s">
        <v>37</v>
      </c>
    </row>
    <row r="13" customFormat="false" ht="12.8" hidden="false" customHeight="false" outlineLevel="0" collapsed="false">
      <c r="A13" s="2" t="s">
        <v>9</v>
      </c>
      <c r="B13" s="3" t="s">
        <v>10</v>
      </c>
      <c r="C13" s="2" t="s">
        <v>11</v>
      </c>
      <c r="D13" s="2" t="n">
        <v>0.957676</v>
      </c>
      <c r="E13" s="3" t="s">
        <v>38</v>
      </c>
      <c r="F13" s="3" t="s">
        <v>39</v>
      </c>
      <c r="G13" s="2" t="n">
        <v>0.000507</v>
      </c>
      <c r="H13" s="3" t="s">
        <v>40</v>
      </c>
      <c r="I13" s="3" t="s">
        <v>41</v>
      </c>
    </row>
    <row r="14" customFormat="false" ht="12.8" hidden="false" customHeight="false" outlineLevel="0" collapsed="false">
      <c r="A14" s="2" t="s">
        <v>12</v>
      </c>
      <c r="B14" s="3" t="s">
        <v>13</v>
      </c>
      <c r="C14" s="2" t="s">
        <v>11</v>
      </c>
      <c r="D14" s="2" t="s">
        <v>42</v>
      </c>
      <c r="E14" s="2" t="s">
        <v>42</v>
      </c>
      <c r="F14" s="2" t="s">
        <v>42</v>
      </c>
      <c r="G14" s="2" t="n">
        <v>3.649435</v>
      </c>
      <c r="H14" s="3" t="s">
        <v>43</v>
      </c>
      <c r="I14" s="3" t="s">
        <v>44</v>
      </c>
    </row>
    <row r="16" customFormat="false" ht="12.8" hidden="false" customHeight="false" outlineLevel="0" collapsed="false">
      <c r="D16" s="0" t="n">
        <f aca="false">D10/G10</f>
        <v>0.0530344715678392</v>
      </c>
      <c r="E16" s="0" t="n">
        <f aca="false">E10/H10</f>
        <v>3.51536808020697E-015</v>
      </c>
      <c r="F16" s="0" t="n">
        <f aca="false">F10/I10</f>
        <v>2436224.4003429</v>
      </c>
    </row>
    <row r="17" customFormat="false" ht="12.8" hidden="false" customHeight="false" outlineLevel="0" collapsed="false">
      <c r="D17" s="0" t="n">
        <f aca="false">D11/G11</f>
        <v>0.23203418452421</v>
      </c>
      <c r="E17" s="0" t="n">
        <f aca="false">E11/H11</f>
        <v>-4.73358187898108E-017</v>
      </c>
      <c r="F17" s="0" t="n">
        <f aca="false">F11/I11</f>
        <v>0.0248391335852393</v>
      </c>
    </row>
    <row r="18" customFormat="false" ht="12.8" hidden="false" customHeight="false" outlineLevel="0" collapsed="false">
      <c r="D18" s="0" t="n">
        <f aca="false">D12/G12</f>
        <v>0.516224683696231</v>
      </c>
      <c r="E18" s="0" t="n">
        <f aca="false">E12/H12</f>
        <v>2.12601129377212E-017</v>
      </c>
      <c r="F18" s="0" t="n">
        <f aca="false">F12/I12</f>
        <v>1.77187774569047E-016</v>
      </c>
    </row>
    <row r="19" customFormat="false" ht="12.8" hidden="false" customHeight="false" outlineLevel="0" collapsed="false">
      <c r="D19" s="0" t="n">
        <f aca="false">D13/G13</f>
        <v>1888.90729783037</v>
      </c>
      <c r="E19" s="0" t="n">
        <f aca="false">E13/H13</f>
        <v>-7.2161030697052E-013</v>
      </c>
      <c r="F19" s="0" t="n">
        <f aca="false">F13/I13</f>
        <v>176.362047635259</v>
      </c>
    </row>
    <row r="20" customFormat="false" ht="12.8" hidden="false" customHeight="false" outlineLevel="0" collapsed="false">
      <c r="D20" s="0" t="e">
        <f aca="false">D14/G14</f>
        <v>#VALUE!</v>
      </c>
      <c r="E20" s="0" t="e">
        <f aca="false">E14/H14</f>
        <v>#VALUE!</v>
      </c>
      <c r="F20" s="0" t="e">
        <f aca="false">F14/I14</f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J5" activeCellId="0" sqref="J5"/>
    </sheetView>
  </sheetViews>
  <sheetFormatPr defaultColWidth="11.53515625" defaultRowHeight="12.8" zeroHeight="false" outlineLevelRow="0" outlineLevelCol="0"/>
  <cols>
    <col collapsed="false" customWidth="true" hidden="false" outlineLevel="0" max="6" min="6" style="0" width="15.91"/>
  </cols>
  <sheetData>
    <row r="1" customFormat="false" ht="46.6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23.85" hidden="false" customHeight="false" outlineLevel="0" collapsed="false">
      <c r="A2" s="2" t="s">
        <v>45</v>
      </c>
      <c r="B2" s="3" t="s">
        <v>46</v>
      </c>
      <c r="C2" s="2" t="s">
        <v>11</v>
      </c>
      <c r="D2" s="5" t="n">
        <v>1</v>
      </c>
      <c r="E2" s="5" t="n">
        <v>-1.72084568816899E-015</v>
      </c>
      <c r="F2" s="5" t="n">
        <v>1.38777878078145E-015</v>
      </c>
      <c r="G2" s="5" t="n">
        <v>0.724513</v>
      </c>
      <c r="H2" s="5" t="n">
        <v>0.724514</v>
      </c>
      <c r="I2" s="5" t="n">
        <v>0.5044172</v>
      </c>
    </row>
    <row r="3" customFormat="false" ht="23.85" hidden="false" customHeight="false" outlineLevel="0" collapsed="false">
      <c r="A3" s="2" t="s">
        <v>47</v>
      </c>
      <c r="B3" s="3" t="s">
        <v>48</v>
      </c>
      <c r="C3" s="2" t="s">
        <v>11</v>
      </c>
      <c r="D3" s="5" t="n">
        <v>0.999999999999997</v>
      </c>
      <c r="E3" s="5" t="n">
        <v>1.60982338570648E-015</v>
      </c>
      <c r="F3" s="5" t="n">
        <v>1.55431223447522E-015</v>
      </c>
      <c r="G3" s="5" t="n">
        <v>0.703407</v>
      </c>
      <c r="H3" s="5" t="n">
        <v>0.703407</v>
      </c>
      <c r="I3" s="5" t="n">
        <v>0.4071594</v>
      </c>
    </row>
    <row r="4" customFormat="false" ht="23.85" hidden="false" customHeight="false" outlineLevel="0" collapsed="false">
      <c r="A4" s="2" t="s">
        <v>49</v>
      </c>
      <c r="B4" s="3" t="s">
        <v>50</v>
      </c>
      <c r="C4" s="2" t="s">
        <v>11</v>
      </c>
      <c r="D4" s="5" t="n">
        <v>0.502134885622042</v>
      </c>
      <c r="E4" s="5" t="n">
        <v>0.497865114377955</v>
      </c>
      <c r="F4" s="5" t="n">
        <v>2.80945936760111E-015</v>
      </c>
      <c r="G4" s="5" t="n">
        <v>0.544532</v>
      </c>
      <c r="H4" s="5" t="n">
        <v>0.544532</v>
      </c>
      <c r="I4" s="5" t="n">
        <v>0.105005</v>
      </c>
    </row>
    <row r="5" customFormat="false" ht="23.85" hidden="false" customHeight="false" outlineLevel="0" collapsed="false">
      <c r="A5" s="2" t="s">
        <v>51</v>
      </c>
      <c r="B5" s="3" t="s">
        <v>52</v>
      </c>
      <c r="C5" s="2" t="s">
        <v>11</v>
      </c>
      <c r="D5" s="5" t="n">
        <v>0.555608157856615</v>
      </c>
      <c r="E5" s="5" t="n">
        <v>0.444391842143387</v>
      </c>
      <c r="F5" s="5" t="n">
        <v>-2.13640187830982E-015</v>
      </c>
      <c r="G5" s="5" t="n">
        <v>0.585728</v>
      </c>
      <c r="H5" s="5" t="n">
        <v>0.585728</v>
      </c>
      <c r="I5" s="5" t="n">
        <v>0.6604574</v>
      </c>
    </row>
    <row r="6" customFormat="false" ht="23.85" hidden="false" customHeight="false" outlineLevel="0" collapsed="false">
      <c r="A6" s="2" t="s">
        <v>53</v>
      </c>
      <c r="B6" s="3" t="s">
        <v>54</v>
      </c>
      <c r="C6" s="2" t="s">
        <v>11</v>
      </c>
      <c r="D6" s="5" t="n">
        <v>0.667483862172458</v>
      </c>
      <c r="E6" s="5" t="n">
        <v>0.186407081097047</v>
      </c>
      <c r="F6" s="5" t="n">
        <v>0.146109056730495</v>
      </c>
      <c r="G6" s="5" t="n">
        <v>0.590998</v>
      </c>
      <c r="H6" s="5" t="n">
        <v>0.590999</v>
      </c>
      <c r="I6" s="5" t="n">
        <v>0.1699921</v>
      </c>
    </row>
    <row r="7" customFormat="false" ht="23.85" hidden="false" customHeight="false" outlineLevel="0" collapsed="false">
      <c r="A7" s="2" t="s">
        <v>55</v>
      </c>
      <c r="B7" s="3" t="s">
        <v>56</v>
      </c>
      <c r="C7" s="2" t="s">
        <v>11</v>
      </c>
      <c r="D7" s="5" t="n">
        <v>0.225544197701696</v>
      </c>
      <c r="E7" s="5" t="n">
        <v>0.611427977845622</v>
      </c>
      <c r="F7" s="5" t="n">
        <v>0.163027824452681</v>
      </c>
      <c r="G7" s="5" t="n">
        <v>0.471781</v>
      </c>
      <c r="H7" s="5" t="n">
        <v>0.471781</v>
      </c>
      <c r="I7" s="5" t="n">
        <v>0.4723199</v>
      </c>
    </row>
    <row r="8" customFormat="false" ht="23.85" hidden="false" customHeight="false" outlineLevel="0" collapsed="false">
      <c r="A8" s="2" t="s">
        <v>57</v>
      </c>
      <c r="B8" s="3" t="s">
        <v>58</v>
      </c>
      <c r="C8" s="2" t="s">
        <v>11</v>
      </c>
      <c r="D8" s="5" t="n">
        <v>7.70981585865305E-015</v>
      </c>
      <c r="E8" s="5" t="n">
        <v>0.859206035943548</v>
      </c>
      <c r="F8" s="5" t="n">
        <v>0.140793964056444</v>
      </c>
      <c r="G8" s="5" t="n">
        <v>0.306771</v>
      </c>
      <c r="H8" s="5" t="n">
        <v>0.306772</v>
      </c>
      <c r="I8" s="5" t="n">
        <v>0.1452896</v>
      </c>
    </row>
    <row r="9" customFormat="false" ht="23.85" hidden="false" customHeight="false" outlineLevel="0" collapsed="false">
      <c r="A9" s="2" t="s">
        <v>59</v>
      </c>
      <c r="B9" s="3" t="s">
        <v>60</v>
      </c>
      <c r="C9" s="2" t="s">
        <v>11</v>
      </c>
      <c r="D9" s="5" t="n">
        <v>-2.23894253831292E-014</v>
      </c>
      <c r="E9" s="5" t="n">
        <v>0.376310533071941</v>
      </c>
      <c r="F9" s="5" t="n">
        <v>0.623689466928081</v>
      </c>
      <c r="G9" s="5" t="n">
        <v>0.679746</v>
      </c>
      <c r="H9" s="5" t="n">
        <v>2.235661</v>
      </c>
      <c r="I9" s="5" t="n">
        <v>2.83829</v>
      </c>
    </row>
    <row r="10" customFormat="false" ht="23.85" hidden="false" customHeight="false" outlineLevel="0" collapsed="false">
      <c r="A10" s="2" t="s">
        <v>61</v>
      </c>
      <c r="B10" s="3" t="s">
        <v>62</v>
      </c>
      <c r="C10" s="2" t="s">
        <v>11</v>
      </c>
      <c r="D10" s="5" t="n">
        <v>5.72241906637849E-015</v>
      </c>
      <c r="E10" s="5" t="n">
        <v>0.394084468999087</v>
      </c>
      <c r="F10" s="5" t="n">
        <v>0.605915531000908</v>
      </c>
      <c r="G10" s="5" t="n">
        <v>0.781239</v>
      </c>
      <c r="H10" s="5" t="n">
        <v>2.562023</v>
      </c>
      <c r="I10" s="5" t="n">
        <v>3.255972</v>
      </c>
    </row>
    <row r="11" customFormat="false" ht="23.85" hidden="false" customHeight="false" outlineLevel="0" collapsed="false">
      <c r="A11" s="2" t="s">
        <v>63</v>
      </c>
      <c r="B11" s="3" t="s">
        <v>64</v>
      </c>
      <c r="C11" s="2" t="s">
        <v>11</v>
      </c>
      <c r="D11" s="5" t="n">
        <v>-2.15624680250804E-015</v>
      </c>
      <c r="E11" s="5" t="n">
        <v>0.361312428538395</v>
      </c>
      <c r="F11" s="5" t="n">
        <v>0.638687571461607</v>
      </c>
      <c r="G11" s="5" t="n">
        <v>0.973304</v>
      </c>
      <c r="H11" s="5" t="n">
        <v>3.182</v>
      </c>
      <c r="I11" s="5" t="n">
        <v>4.072968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I6" activeCellId="0" sqref="I6"/>
    </sheetView>
  </sheetViews>
  <sheetFormatPr defaultColWidth="11.53515625" defaultRowHeight="12.8" zeroHeight="false" outlineLevelRow="0" outlineLevelCol="0"/>
  <cols>
    <col collapsed="false" customWidth="true" hidden="false" outlineLevel="0" max="6" min="6" style="0" width="17.65"/>
    <col collapsed="false" customWidth="true" hidden="false" outlineLevel="0" max="9" min="9" style="0" width="15.3"/>
  </cols>
  <sheetData>
    <row r="1" customFormat="false" ht="46.6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23</v>
      </c>
      <c r="H1" s="1" t="s">
        <v>65</v>
      </c>
      <c r="I1" s="1" t="s">
        <v>25</v>
      </c>
    </row>
    <row r="2" customFormat="false" ht="23.85" hidden="false" customHeight="false" outlineLevel="0" collapsed="false">
      <c r="A2" s="2" t="s">
        <v>66</v>
      </c>
      <c r="B2" s="3" t="s">
        <v>67</v>
      </c>
      <c r="C2" s="2" t="s">
        <v>11</v>
      </c>
      <c r="D2" s="5" t="n">
        <v>0.350438911029383</v>
      </c>
      <c r="E2" s="5" t="n">
        <v>0.338330013641158</v>
      </c>
      <c r="F2" s="5" t="n">
        <v>0.386196670556047</v>
      </c>
      <c r="G2" s="2" t="n">
        <v>1.490199</v>
      </c>
      <c r="H2" s="2" t="n">
        <v>2.588991</v>
      </c>
      <c r="I2" s="6" t="n">
        <v>1.923288</v>
      </c>
    </row>
    <row r="3" customFormat="false" ht="23.85" hidden="false" customHeight="false" outlineLevel="0" collapsed="false">
      <c r="A3" s="2" t="s">
        <v>68</v>
      </c>
      <c r="B3" s="3" t="s">
        <v>69</v>
      </c>
      <c r="C3" s="2" t="s">
        <v>11</v>
      </c>
      <c r="D3" s="5" t="n">
        <v>0.258333024666381</v>
      </c>
      <c r="E3" s="5" t="n">
        <v>0.279219757456825</v>
      </c>
      <c r="F3" s="5" t="n">
        <v>0.314024713682403</v>
      </c>
      <c r="G3" s="2" t="n">
        <v>1.391181</v>
      </c>
      <c r="H3" s="2" t="n">
        <v>2.405324</v>
      </c>
      <c r="I3" s="6" t="n">
        <v>1.752719</v>
      </c>
    </row>
    <row r="4" customFormat="false" ht="23.85" hidden="false" customHeight="false" outlineLevel="0" collapsed="false">
      <c r="A4" s="2" t="s">
        <v>70</v>
      </c>
      <c r="B4" s="3" t="s">
        <v>71</v>
      </c>
      <c r="C4" s="2" t="s">
        <v>11</v>
      </c>
      <c r="D4" s="5" t="n">
        <v>0.294882532521705</v>
      </c>
      <c r="E4" s="5" t="n">
        <v>0.136007548074778</v>
      </c>
      <c r="F4" s="5" t="n">
        <v>0.383985492236687</v>
      </c>
      <c r="G4" s="2" t="n">
        <v>1.404468</v>
      </c>
      <c r="H4" s="2" t="n">
        <v>2.536883</v>
      </c>
      <c r="I4" s="6" t="n">
        <v>1.796587</v>
      </c>
    </row>
    <row r="5" customFormat="false" ht="23.85" hidden="false" customHeight="false" outlineLevel="0" collapsed="false">
      <c r="A5" s="2" t="s">
        <v>72</v>
      </c>
      <c r="B5" s="3" t="s">
        <v>73</v>
      </c>
      <c r="C5" s="2" t="s">
        <v>11</v>
      </c>
      <c r="D5" s="5" t="n">
        <v>0.329947881505514</v>
      </c>
      <c r="E5" s="5" t="n">
        <v>0.101234593232422</v>
      </c>
      <c r="F5" s="5" t="n">
        <v>0.426021873533986</v>
      </c>
      <c r="G5" s="2" t="n">
        <v>1.484742</v>
      </c>
      <c r="H5" s="2" t="n">
        <v>2.564971</v>
      </c>
      <c r="I5" s="6" t="n">
        <v>1.871084</v>
      </c>
    </row>
    <row r="6" customFormat="false" ht="23.85" hidden="false" customHeight="false" outlineLevel="0" collapsed="false">
      <c r="A6" s="2" t="s">
        <v>74</v>
      </c>
      <c r="B6" s="3" t="s">
        <v>75</v>
      </c>
      <c r="C6" s="2" t="s">
        <v>11</v>
      </c>
      <c r="D6" s="5" t="n">
        <v>0.268249951816527</v>
      </c>
      <c r="E6" s="5" t="n">
        <v>0.397713344646014</v>
      </c>
      <c r="F6" s="5" t="n">
        <v>0.293725928119268</v>
      </c>
      <c r="G6" s="2" t="n">
        <v>1.364738</v>
      </c>
      <c r="H6" s="2" t="n">
        <v>1.364738</v>
      </c>
      <c r="I6" s="6" t="n">
        <v>1.2784946</v>
      </c>
    </row>
    <row r="7" customFormat="false" ht="23.85" hidden="false" customHeight="false" outlineLevel="0" collapsed="false">
      <c r="A7" s="2" t="s">
        <v>76</v>
      </c>
      <c r="B7" s="3" t="s">
        <v>77</v>
      </c>
      <c r="C7" s="2" t="s">
        <v>11</v>
      </c>
      <c r="D7" s="5" t="n">
        <v>1.71685457217512E-013</v>
      </c>
      <c r="E7" s="5" t="n">
        <v>0.607795087498801</v>
      </c>
      <c r="F7" s="5" t="n">
        <v>2.43240757397123E-015</v>
      </c>
      <c r="G7" s="2" t="n">
        <v>1.073046</v>
      </c>
      <c r="H7" s="2" t="n">
        <v>1.831743</v>
      </c>
      <c r="I7" s="6" t="n">
        <v>1.258057</v>
      </c>
    </row>
    <row r="12" customFormat="false" ht="12.8" hidden="false" customHeight="false" outlineLevel="0" collapsed="false">
      <c r="E12" s="1"/>
      <c r="F12" s="2"/>
      <c r="G12" s="3"/>
      <c r="H12" s="2"/>
      <c r="I12" s="2"/>
      <c r="J12" s="2"/>
      <c r="K12" s="3"/>
      <c r="L12" s="2"/>
      <c r="M12" s="2"/>
      <c r="N12" s="2"/>
    </row>
    <row r="13" customFormat="false" ht="12.8" hidden="false" customHeight="false" outlineLevel="0" collapsed="false">
      <c r="E13" s="1"/>
      <c r="F13" s="2"/>
      <c r="G13" s="3"/>
      <c r="H13" s="2"/>
      <c r="I13" s="2"/>
      <c r="J13" s="2"/>
      <c r="K13" s="3"/>
      <c r="L13" s="2"/>
      <c r="M13" s="2"/>
      <c r="N13" s="2"/>
    </row>
    <row r="14" customFormat="false" ht="12.8" hidden="false" customHeight="false" outlineLevel="0" collapsed="false">
      <c r="E14" s="1"/>
      <c r="F14" s="2"/>
      <c r="G14" s="3"/>
      <c r="H14" s="2"/>
      <c r="I14" s="2"/>
      <c r="J14" s="2"/>
      <c r="K14" s="3"/>
      <c r="L14" s="2"/>
      <c r="M14" s="2"/>
      <c r="N14" s="2"/>
    </row>
    <row r="15" customFormat="false" ht="12.8" hidden="false" customHeight="false" outlineLevel="0" collapsed="false">
      <c r="E15" s="1"/>
      <c r="F15" s="2"/>
      <c r="G15" s="3"/>
      <c r="H15" s="2"/>
      <c r="I15" s="2"/>
      <c r="J15" s="2"/>
      <c r="K15" s="3"/>
      <c r="L15" s="2"/>
      <c r="M15" s="2"/>
      <c r="N15" s="2"/>
    </row>
    <row r="16" customFormat="false" ht="12.8" hidden="false" customHeight="false" outlineLevel="0" collapsed="false">
      <c r="E16" s="1"/>
      <c r="F16" s="2"/>
      <c r="G16" s="3"/>
      <c r="H16" s="2"/>
      <c r="I16" s="2"/>
      <c r="J16" s="2"/>
      <c r="K16" s="3"/>
      <c r="L16" s="2"/>
      <c r="M16" s="2"/>
      <c r="N16" s="2"/>
    </row>
    <row r="17" customFormat="false" ht="12.8" hidden="false" customHeight="false" outlineLevel="0" collapsed="false">
      <c r="E17" s="1"/>
      <c r="F17" s="2"/>
      <c r="G17" s="3"/>
      <c r="H17" s="2"/>
      <c r="I17" s="2"/>
      <c r="J17" s="2"/>
      <c r="K17" s="2"/>
      <c r="L17" s="2"/>
      <c r="M17" s="2"/>
      <c r="N17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E9" activeCellId="0" sqref="E9"/>
    </sheetView>
  </sheetViews>
  <sheetFormatPr defaultColWidth="11.53515625" defaultRowHeight="12.8" zeroHeight="false" outlineLevelRow="0" outlineLevelCol="0"/>
  <cols>
    <col collapsed="false" customWidth="true" hidden="false" outlineLevel="0" max="3" min="3" style="0" width="13.73"/>
    <col collapsed="false" customWidth="true" hidden="false" outlineLevel="0" max="4" min="4" style="0" width="18.51"/>
    <col collapsed="false" customWidth="true" hidden="false" outlineLevel="0" max="5" min="5" style="0" width="17.91"/>
    <col collapsed="false" customWidth="true" hidden="false" outlineLevel="0" max="6" min="6" style="0" width="14.95"/>
    <col collapsed="false" customWidth="true" hidden="false" outlineLevel="0" max="7" min="7" style="0" width="17.82"/>
  </cols>
  <sheetData>
    <row r="1" customFormat="false" ht="46.6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23.85" hidden="false" customHeight="false" outlineLevel="0" collapsed="false">
      <c r="A2" s="2" t="s">
        <v>78</v>
      </c>
      <c r="B2" s="3" t="s">
        <v>79</v>
      </c>
      <c r="C2" s="2" t="s">
        <v>80</v>
      </c>
      <c r="D2" s="7" t="n">
        <v>0.999999999999993</v>
      </c>
      <c r="E2" s="7" t="n">
        <v>5.71764857681956E-015</v>
      </c>
      <c r="F2" s="7" t="n">
        <v>1.4432899320127E-015</v>
      </c>
      <c r="G2" s="2" t="n">
        <v>1.677766</v>
      </c>
      <c r="H2" s="2" t="n">
        <v>1.677768</v>
      </c>
      <c r="I2" s="8" t="n">
        <v>0.2841695</v>
      </c>
    </row>
    <row r="3" customFormat="false" ht="23.85" hidden="false" customHeight="false" outlineLevel="0" collapsed="false">
      <c r="A3" s="2" t="s">
        <v>81</v>
      </c>
      <c r="B3" s="3" t="s">
        <v>82</v>
      </c>
      <c r="C3" s="2" t="s">
        <v>80</v>
      </c>
      <c r="D3" s="7" t="n">
        <v>0.96690041040634</v>
      </c>
      <c r="E3" s="7" t="n">
        <v>0.0330995895936592</v>
      </c>
      <c r="F3" s="7" t="n">
        <v>1.06285494954606E-015</v>
      </c>
      <c r="G3" s="2" t="n">
        <v>1.810438</v>
      </c>
      <c r="H3" s="2" t="n">
        <v>1.810438</v>
      </c>
      <c r="I3" s="8" t="n">
        <v>0.3595174</v>
      </c>
    </row>
    <row r="4" customFormat="false" ht="23.85" hidden="false" customHeight="false" outlineLevel="0" collapsed="false">
      <c r="A4" s="2" t="s">
        <v>83</v>
      </c>
      <c r="B4" s="3" t="s">
        <v>84</v>
      </c>
      <c r="C4" s="2" t="s">
        <v>80</v>
      </c>
      <c r="D4" s="7" t="n">
        <v>0.857385186240054</v>
      </c>
      <c r="E4" s="7" t="n">
        <v>0.142614813759947</v>
      </c>
      <c r="F4" s="7" t="n">
        <v>5.41401763168281E-016</v>
      </c>
      <c r="G4" s="2" t="n">
        <v>2.029665</v>
      </c>
      <c r="H4" s="2" t="n">
        <v>2.029665</v>
      </c>
      <c r="I4" s="8" t="n">
        <v>1.11605</v>
      </c>
    </row>
    <row r="5" customFormat="false" ht="23.85" hidden="false" customHeight="false" outlineLevel="0" collapsed="false">
      <c r="A5" s="2" t="s">
        <v>85</v>
      </c>
      <c r="B5" s="3" t="s">
        <v>86</v>
      </c>
      <c r="C5" s="2" t="s">
        <v>80</v>
      </c>
      <c r="D5" s="9" t="n">
        <v>0.964880939860266</v>
      </c>
      <c r="E5" s="9" t="n">
        <v>0.0351190601397342</v>
      </c>
      <c r="F5" s="9" t="n">
        <v>3.06082606292786E-016</v>
      </c>
      <c r="G5" s="2" t="n">
        <v>1.660788</v>
      </c>
      <c r="H5" s="2" t="n">
        <v>1.660781</v>
      </c>
      <c r="I5" s="8" t="n">
        <v>0.7290277</v>
      </c>
    </row>
    <row r="6" customFormat="false" ht="23.85" hidden="false" customHeight="false" outlineLevel="0" collapsed="false">
      <c r="A6" s="2" t="s">
        <v>87</v>
      </c>
      <c r="B6" s="3" t="s">
        <v>88</v>
      </c>
      <c r="C6" s="2" t="s">
        <v>80</v>
      </c>
      <c r="D6" s="7" t="n">
        <v>0.470083098725178</v>
      </c>
      <c r="E6" s="7" t="n">
        <v>0.529916901274807</v>
      </c>
      <c r="F6" s="7" t="n">
        <v>1.48792609599653E-014</v>
      </c>
      <c r="G6" s="2" t="n">
        <v>2.474155</v>
      </c>
      <c r="H6" s="2" t="n">
        <v>2.474155</v>
      </c>
      <c r="I6" s="8" t="n">
        <v>0.3974607</v>
      </c>
    </row>
    <row r="7" customFormat="false" ht="23.85" hidden="false" customHeight="false" outlineLevel="0" collapsed="false">
      <c r="A7" s="2" t="s">
        <v>89</v>
      </c>
      <c r="B7" s="3" t="s">
        <v>90</v>
      </c>
      <c r="C7" s="2" t="s">
        <v>80</v>
      </c>
      <c r="D7" s="7" t="n">
        <v>0.427133119946537</v>
      </c>
      <c r="E7" s="7" t="n">
        <v>0.57286688005413</v>
      </c>
      <c r="F7" s="7" t="n">
        <v>6.67072826912889E-013</v>
      </c>
      <c r="G7" s="2" t="n">
        <v>2.715008</v>
      </c>
      <c r="H7" s="2" t="n">
        <v>2.715008</v>
      </c>
      <c r="I7" s="8" t="n">
        <v>0.3360215</v>
      </c>
    </row>
    <row r="8" customFormat="false" ht="23.85" hidden="false" customHeight="false" outlineLevel="0" collapsed="false">
      <c r="A8" s="2" t="s">
        <v>91</v>
      </c>
      <c r="B8" s="3" t="s">
        <v>92</v>
      </c>
      <c r="C8" s="2" t="s">
        <v>80</v>
      </c>
      <c r="D8" s="7" t="n">
        <v>0.430614670917867</v>
      </c>
      <c r="E8" s="7" t="n">
        <v>0.569385329082108</v>
      </c>
      <c r="F8" s="7" t="n">
        <v>2.49663943775046E-014</v>
      </c>
      <c r="G8" s="2" t="n">
        <v>2.64853</v>
      </c>
      <c r="H8" s="2" t="n">
        <v>2.64853</v>
      </c>
      <c r="I8" s="8" t="n">
        <v>0.4448664</v>
      </c>
    </row>
    <row r="9" customFormat="false" ht="23.85" hidden="false" customHeight="false" outlineLevel="0" collapsed="false">
      <c r="A9" s="2" t="s">
        <v>93</v>
      </c>
      <c r="B9" s="3" t="s">
        <v>94</v>
      </c>
      <c r="C9" s="2" t="s">
        <v>80</v>
      </c>
      <c r="D9" s="7" t="n">
        <v>0.40852653368225</v>
      </c>
      <c r="E9" s="7" t="n">
        <v>0.591473466317753</v>
      </c>
      <c r="F9" s="7" t="n">
        <v>3.17650956076492E-015</v>
      </c>
      <c r="G9" s="2" t="n">
        <v>2.639642</v>
      </c>
      <c r="H9" s="2" t="n">
        <v>2.639642</v>
      </c>
      <c r="I9" s="8" t="n">
        <v>0.3584502</v>
      </c>
    </row>
    <row r="10" customFormat="false" ht="23.85" hidden="false" customHeight="false" outlineLevel="0" collapsed="false">
      <c r="A10" s="2" t="s">
        <v>95</v>
      </c>
      <c r="B10" s="3" t="s">
        <v>96</v>
      </c>
      <c r="C10" s="2" t="s">
        <v>80</v>
      </c>
      <c r="D10" s="7" t="n">
        <v>0.567821935189133</v>
      </c>
      <c r="E10" s="7" t="n">
        <v>0.432178064810867</v>
      </c>
      <c r="F10" s="7" t="n">
        <v>4.7744726286027E-017</v>
      </c>
      <c r="G10" s="2" t="n">
        <v>2.512898</v>
      </c>
      <c r="H10" s="2" t="n">
        <v>2.512898</v>
      </c>
      <c r="I10" s="8" t="n">
        <v>0.7644462</v>
      </c>
    </row>
    <row r="11" customFormat="false" ht="23.85" hidden="false" customHeight="false" outlineLevel="0" collapsed="false">
      <c r="A11" s="2" t="s">
        <v>97</v>
      </c>
      <c r="B11" s="3" t="s">
        <v>98</v>
      </c>
      <c r="C11" s="2" t="s">
        <v>80</v>
      </c>
      <c r="D11" s="7" t="n">
        <v>0.492580539472295</v>
      </c>
      <c r="E11" s="7" t="n">
        <v>0.507419460527711</v>
      </c>
      <c r="F11" s="7" t="n">
        <v>5.43346816080141E-015</v>
      </c>
      <c r="G11" s="2" t="n">
        <v>2.413596</v>
      </c>
      <c r="H11" s="2" t="n">
        <v>2.413596</v>
      </c>
      <c r="I11" s="8" t="n">
        <v>0.1382958</v>
      </c>
    </row>
    <row r="12" customFormat="false" ht="23.85" hidden="false" customHeight="false" outlineLevel="0" collapsed="false">
      <c r="A12" s="2" t="s">
        <v>99</v>
      </c>
      <c r="B12" s="3" t="s">
        <v>100</v>
      </c>
      <c r="C12" s="2" t="s">
        <v>80</v>
      </c>
      <c r="D12" s="7" t="n">
        <v>0.57305721000619</v>
      </c>
      <c r="E12" s="7" t="n">
        <v>0.426942789993836</v>
      </c>
      <c r="F12" s="7" t="n">
        <v>2.58976336167907E-014</v>
      </c>
      <c r="G12" s="2" t="n">
        <v>2.273393</v>
      </c>
      <c r="H12" s="2" t="n">
        <v>2.273393</v>
      </c>
      <c r="I12" s="8" t="n">
        <v>0.1587802</v>
      </c>
    </row>
    <row r="16" customFormat="false" ht="12.8" hidden="false" customHeight="false" outlineLevel="0" collapsed="false">
      <c r="D16" s="1"/>
      <c r="E16" s="1"/>
      <c r="F16" s="1"/>
      <c r="G16" s="1"/>
      <c r="H16" s="1"/>
      <c r="I16" s="1"/>
      <c r="J16" s="1"/>
      <c r="K16" s="1"/>
      <c r="L16" s="1"/>
      <c r="M16" s="1"/>
    </row>
    <row r="17" customFormat="false" ht="12.8" hidden="false" customHeight="false" outlineLevel="0" collapsed="false">
      <c r="D17" s="1"/>
      <c r="E17" s="2"/>
      <c r="F17" s="3"/>
      <c r="G17" s="2"/>
      <c r="H17" s="2"/>
      <c r="I17" s="3"/>
      <c r="J17" s="2"/>
      <c r="K17" s="2"/>
      <c r="L17" s="2"/>
      <c r="M17" s="3"/>
      <c r="N17" s="2"/>
    </row>
    <row r="18" customFormat="false" ht="12.8" hidden="false" customHeight="false" outlineLevel="0" collapsed="false">
      <c r="D18" s="1"/>
      <c r="E18" s="2"/>
      <c r="F18" s="3"/>
      <c r="G18" s="2"/>
      <c r="H18" s="2"/>
      <c r="I18" s="3"/>
      <c r="J18" s="2"/>
      <c r="K18" s="2"/>
      <c r="L18" s="2"/>
      <c r="M18" s="3"/>
      <c r="N18" s="2"/>
    </row>
    <row r="19" customFormat="false" ht="12.8" hidden="false" customHeight="false" outlineLevel="0" collapsed="false">
      <c r="D19" s="1"/>
      <c r="E19" s="2"/>
      <c r="F19" s="3"/>
      <c r="G19" s="2"/>
      <c r="H19" s="2"/>
      <c r="I19" s="3"/>
      <c r="J19" s="2"/>
      <c r="K19" s="2"/>
      <c r="L19" s="2"/>
      <c r="M19" s="3"/>
      <c r="N19" s="2"/>
    </row>
    <row r="20" customFormat="false" ht="12.8" hidden="false" customHeight="false" outlineLevel="0" collapsed="false">
      <c r="D20" s="1"/>
      <c r="E20" s="2"/>
      <c r="F20" s="3"/>
      <c r="G20" s="2"/>
      <c r="H20" s="2"/>
      <c r="I20" s="3"/>
      <c r="J20" s="2"/>
      <c r="K20" s="2"/>
      <c r="L20" s="2"/>
      <c r="M20" s="3"/>
      <c r="N20" s="2"/>
    </row>
    <row r="21" customFormat="false" ht="12.8" hidden="false" customHeight="false" outlineLevel="0" collapsed="false">
      <c r="D21" s="1"/>
      <c r="E21" s="2"/>
      <c r="F21" s="3"/>
      <c r="G21" s="2"/>
      <c r="H21" s="2"/>
      <c r="I21" s="3"/>
      <c r="J21" s="2"/>
      <c r="K21" s="2"/>
      <c r="L21" s="2"/>
      <c r="M21" s="3"/>
      <c r="N21" s="2"/>
    </row>
    <row r="22" customFormat="false" ht="12.8" hidden="false" customHeight="false" outlineLevel="0" collapsed="false">
      <c r="D22" s="1"/>
      <c r="E22" s="2"/>
      <c r="F22" s="3"/>
      <c r="G22" s="2"/>
      <c r="H22" s="2"/>
      <c r="I22" s="3"/>
      <c r="J22" s="2"/>
      <c r="K22" s="2"/>
      <c r="L22" s="2"/>
      <c r="M22" s="3"/>
      <c r="N22" s="2"/>
    </row>
    <row r="23" customFormat="false" ht="12.8" hidden="false" customHeight="false" outlineLevel="0" collapsed="false">
      <c r="D23" s="1"/>
      <c r="E23" s="2"/>
      <c r="F23" s="3"/>
      <c r="G23" s="2"/>
      <c r="H23" s="2"/>
      <c r="I23" s="3"/>
      <c r="J23" s="2"/>
      <c r="K23" s="2"/>
      <c r="L23" s="2"/>
      <c r="M23" s="3"/>
      <c r="N23" s="2"/>
    </row>
    <row r="24" customFormat="false" ht="12.8" hidden="false" customHeight="false" outlineLevel="0" collapsed="false">
      <c r="D24" s="1"/>
      <c r="E24" s="2"/>
      <c r="F24" s="3"/>
      <c r="G24" s="2"/>
      <c r="H24" s="2"/>
      <c r="I24" s="3"/>
      <c r="J24" s="2"/>
      <c r="K24" s="2"/>
      <c r="L24" s="2"/>
      <c r="M24" s="3"/>
      <c r="N24" s="2"/>
    </row>
    <row r="25" customFormat="false" ht="12.8" hidden="false" customHeight="false" outlineLevel="0" collapsed="false">
      <c r="D25" s="1"/>
      <c r="E25" s="2"/>
      <c r="F25" s="3"/>
      <c r="G25" s="2"/>
      <c r="H25" s="2"/>
      <c r="I25" s="3"/>
      <c r="J25" s="2"/>
      <c r="K25" s="2"/>
      <c r="L25" s="2"/>
      <c r="M25" s="3"/>
      <c r="N25" s="2"/>
    </row>
    <row r="26" customFormat="false" ht="12.8" hidden="false" customHeight="false" outlineLevel="0" collapsed="false">
      <c r="D26" s="1"/>
      <c r="E26" s="2"/>
      <c r="F26" s="3"/>
      <c r="G26" s="2"/>
      <c r="H26" s="2"/>
      <c r="I26" s="3"/>
      <c r="J26" s="2"/>
      <c r="K26" s="2"/>
      <c r="L26" s="2"/>
      <c r="M26" s="3"/>
      <c r="N26" s="2"/>
    </row>
    <row r="27" customFormat="false" ht="12.8" hidden="false" customHeight="false" outlineLevel="0" collapsed="false">
      <c r="D27" s="1"/>
      <c r="E27" s="2"/>
      <c r="F27" s="3"/>
      <c r="G27" s="2"/>
      <c r="H27" s="2"/>
      <c r="I27" s="2"/>
      <c r="J27" s="2"/>
      <c r="K27" s="2"/>
      <c r="L27" s="2"/>
      <c r="M27" s="3"/>
      <c r="N27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H14" activeCellId="0" sqref="H14"/>
    </sheetView>
  </sheetViews>
  <sheetFormatPr defaultColWidth="11.53515625" defaultRowHeight="12.8" zeroHeight="false" outlineLevelRow="0" outlineLevelCol="0"/>
  <sheetData>
    <row r="1" customFormat="false" ht="46.6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23.85" hidden="false" customHeight="false" outlineLevel="0" collapsed="false">
      <c r="A2" s="2" t="s">
        <v>101</v>
      </c>
      <c r="B2" s="3" t="s">
        <v>48</v>
      </c>
      <c r="C2" s="2" t="s">
        <v>80</v>
      </c>
      <c r="D2" s="5" t="n">
        <v>0.988927542122776</v>
      </c>
      <c r="E2" s="5" t="n">
        <v>1.30265268538562E-015</v>
      </c>
      <c r="F2" s="5" t="n">
        <v>0.0110724578772232</v>
      </c>
      <c r="G2" s="2" t="n">
        <v>0.652949</v>
      </c>
      <c r="H2" s="2" t="n">
        <v>1.078822</v>
      </c>
      <c r="I2" s="2" t="n">
        <v>1.442998</v>
      </c>
    </row>
    <row r="3" customFormat="false" ht="23.85" hidden="false" customHeight="false" outlineLevel="0" collapsed="false">
      <c r="A3" s="2" t="s">
        <v>102</v>
      </c>
      <c r="B3" s="3" t="s">
        <v>50</v>
      </c>
      <c r="C3" s="2" t="s">
        <v>80</v>
      </c>
      <c r="D3" s="5" t="n">
        <v>0.827605101501955</v>
      </c>
      <c r="E3" s="5" t="n">
        <v>0.0349373877988759</v>
      </c>
      <c r="F3" s="5" t="n">
        <v>0.137457510699169</v>
      </c>
      <c r="G3" s="2" t="n">
        <v>0.686821</v>
      </c>
      <c r="H3" s="2" t="n">
        <v>1.178742</v>
      </c>
      <c r="I3" s="2" t="n">
        <v>1.615589</v>
      </c>
    </row>
    <row r="4" customFormat="false" ht="23.85" hidden="false" customHeight="false" outlineLevel="0" collapsed="false">
      <c r="A4" s="2" t="s">
        <v>103</v>
      </c>
      <c r="B4" s="3" t="s">
        <v>52</v>
      </c>
      <c r="C4" s="2" t="s">
        <v>80</v>
      </c>
      <c r="D4" s="5" t="n">
        <v>0.766336275007438</v>
      </c>
      <c r="E4" s="5" t="n">
        <v>1.40241551011E-016</v>
      </c>
      <c r="F4" s="5" t="n">
        <v>0.233663724992562</v>
      </c>
      <c r="G4" s="2" t="n">
        <v>0.62503</v>
      </c>
      <c r="H4" s="2" t="n">
        <v>1.139904</v>
      </c>
      <c r="I4" s="2" t="n">
        <v>1.469779</v>
      </c>
    </row>
    <row r="5" customFormat="false" ht="23.85" hidden="false" customHeight="false" outlineLevel="0" collapsed="false">
      <c r="A5" s="2" t="s">
        <v>104</v>
      </c>
      <c r="B5" s="3" t="s">
        <v>60</v>
      </c>
      <c r="C5" s="2" t="s">
        <v>80</v>
      </c>
      <c r="D5" s="5" t="n">
        <v>1.84247411256615E-013</v>
      </c>
      <c r="E5" s="5" t="n">
        <v>0.0800399086992178</v>
      </c>
      <c r="F5" s="5" t="n">
        <v>0.919960091300598</v>
      </c>
      <c r="G5" s="2" t="n">
        <v>0.501912</v>
      </c>
      <c r="H5" s="2" t="n">
        <v>1.833777</v>
      </c>
      <c r="I5" s="2" t="n">
        <v>2.162434</v>
      </c>
    </row>
    <row r="6" customFormat="false" ht="23.85" hidden="false" customHeight="false" outlineLevel="0" collapsed="false">
      <c r="A6" s="2" t="s">
        <v>105</v>
      </c>
      <c r="B6" s="3" t="s">
        <v>62</v>
      </c>
      <c r="C6" s="2" t="s">
        <v>80</v>
      </c>
      <c r="D6" s="5" t="n">
        <v>0.287984724069191</v>
      </c>
      <c r="E6" s="5" t="n">
        <v>1.44612283385563E-014</v>
      </c>
      <c r="F6" s="5" t="n">
        <v>0.712015275930824</v>
      </c>
      <c r="G6" s="2" t="n">
        <v>0.610952</v>
      </c>
      <c r="H6" s="2" t="n">
        <v>1.513478</v>
      </c>
      <c r="I6" s="2" t="n">
        <v>1.836548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5" colorId="64" zoomScale="160" zoomScaleNormal="160" zoomScalePageLayoutView="100" workbookViewId="0">
      <selection pane="topLeft" activeCell="F14" activeCellId="0" sqref="F14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23.13"/>
    <col collapsed="false" customWidth="true" hidden="false" outlineLevel="0" max="3" min="3" style="0" width="16.86"/>
    <col collapsed="false" customWidth="true" hidden="false" outlineLevel="0" max="4" min="4" style="0" width="15.82"/>
    <col collapsed="false" customWidth="true" hidden="false" outlineLevel="0" max="5" min="5" style="0" width="11.12"/>
  </cols>
  <sheetData>
    <row r="1" customFormat="false" ht="46.6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20</v>
      </c>
      <c r="E1" s="1" t="s">
        <v>21</v>
      </c>
      <c r="F1" s="1" t="s">
        <v>22</v>
      </c>
      <c r="G1" s="1" t="s">
        <v>6</v>
      </c>
      <c r="H1" s="1" t="s">
        <v>7</v>
      </c>
      <c r="I1" s="1" t="s">
        <v>8</v>
      </c>
    </row>
    <row r="2" customFormat="false" ht="12.8" hidden="false" customHeight="false" outlineLevel="0" collapsed="false">
      <c r="A2" s="2" t="s">
        <v>106</v>
      </c>
      <c r="B2" s="3" t="s">
        <v>107</v>
      </c>
      <c r="C2" s="2" t="s">
        <v>80</v>
      </c>
      <c r="D2" s="11" t="n">
        <v>0.910665456696755</v>
      </c>
      <c r="E2" s="11" t="n">
        <v>1.33324485324605E-015</v>
      </c>
      <c r="F2" s="11" t="n">
        <v>0.0893345433032439</v>
      </c>
      <c r="G2" s="2" t="n">
        <v>0.940137</v>
      </c>
      <c r="H2" s="2" t="n">
        <v>1.451149</v>
      </c>
      <c r="I2" s="2" t="n">
        <v>2.002771</v>
      </c>
    </row>
    <row r="3" customFormat="false" ht="12.8" hidden="false" customHeight="false" outlineLevel="0" collapsed="false">
      <c r="A3" s="2" t="s">
        <v>108</v>
      </c>
      <c r="B3" s="3" t="s">
        <v>67</v>
      </c>
      <c r="C3" s="2" t="s">
        <v>80</v>
      </c>
      <c r="D3" s="11" t="n">
        <v>0.818007784477811</v>
      </c>
      <c r="E3" s="11" t="n">
        <v>0.0642011002663801</v>
      </c>
      <c r="F3" s="11" t="n">
        <v>0.117791115255809</v>
      </c>
      <c r="G3" s="2" t="n">
        <v>0.711988</v>
      </c>
      <c r="H3" s="2" t="n">
        <v>1.758261</v>
      </c>
      <c r="I3" s="2" t="n">
        <v>2.214279</v>
      </c>
    </row>
    <row r="4" customFormat="false" ht="12.8" hidden="false" customHeight="false" outlineLevel="0" collapsed="false">
      <c r="A4" s="2" t="s">
        <v>109</v>
      </c>
      <c r="B4" s="3" t="s">
        <v>69</v>
      </c>
      <c r="C4" s="2" t="s">
        <v>80</v>
      </c>
      <c r="D4" s="11" t="n">
        <v>0.791441912562225</v>
      </c>
      <c r="E4" s="11" t="n">
        <v>2.56749916466292E-015</v>
      </c>
      <c r="F4" s="11" t="n">
        <v>0.208558087437773</v>
      </c>
      <c r="G4" s="2" t="n">
        <v>0.741521</v>
      </c>
      <c r="H4" s="2" t="n">
        <v>1.53141</v>
      </c>
      <c r="I4" s="2" t="n">
        <v>1.950834</v>
      </c>
    </row>
    <row r="5" customFormat="false" ht="12.8" hidden="false" customHeight="false" outlineLevel="0" collapsed="false">
      <c r="A5" s="2" t="s">
        <v>110</v>
      </c>
      <c r="B5" s="3" t="s">
        <v>71</v>
      </c>
      <c r="C5" s="2" t="s">
        <v>80</v>
      </c>
      <c r="D5" s="11" t="n">
        <v>0.805539978743876</v>
      </c>
      <c r="E5" s="11" t="n">
        <v>1.4698528852386E-015</v>
      </c>
      <c r="F5" s="11" t="n">
        <v>0.194460021256125</v>
      </c>
      <c r="G5" s="2" t="n">
        <v>0.787805</v>
      </c>
      <c r="H5" s="2" t="n">
        <v>1.504259</v>
      </c>
      <c r="I5" s="2" t="n">
        <v>1.973577</v>
      </c>
    </row>
    <row r="6" customFormat="false" ht="12.8" hidden="false" customHeight="false" outlineLevel="0" collapsed="false">
      <c r="A6" s="2" t="s">
        <v>111</v>
      </c>
      <c r="B6" s="3" t="s">
        <v>73</v>
      </c>
      <c r="C6" s="2" t="s">
        <v>80</v>
      </c>
      <c r="D6" s="11" t="n">
        <v>0.903642482296494</v>
      </c>
      <c r="E6" s="11" t="n">
        <v>1.90891285202928E-015</v>
      </c>
      <c r="F6" s="11" t="n">
        <v>0.0963575177035045</v>
      </c>
      <c r="G6" s="2" t="n">
        <v>0.729602</v>
      </c>
      <c r="H6" s="2" t="n">
        <v>1.477473</v>
      </c>
      <c r="I6" s="2" t="n">
        <v>1.854215</v>
      </c>
    </row>
    <row r="7" customFormat="false" ht="12.8" hidden="false" customHeight="false" outlineLevel="0" collapsed="false">
      <c r="A7" s="2" t="s">
        <v>112</v>
      </c>
      <c r="B7" s="3" t="s">
        <v>113</v>
      </c>
      <c r="C7" s="2" t="s">
        <v>80</v>
      </c>
      <c r="D7" s="11" t="n">
        <v>4.85918015690256E-016</v>
      </c>
      <c r="E7" s="11" t="n">
        <v>0.268606816784877</v>
      </c>
      <c r="F7" s="11" t="n">
        <v>0.731393183215122</v>
      </c>
      <c r="G7" s="2" t="n">
        <v>0.538802</v>
      </c>
      <c r="H7" s="2" t="n">
        <v>1.87108</v>
      </c>
      <c r="I7" s="2" t="n">
        <v>2.120093</v>
      </c>
    </row>
    <row r="8" customFormat="false" ht="12.8" hidden="false" customHeight="false" outlineLevel="0" collapsed="false">
      <c r="A8" s="2" t="s">
        <v>114</v>
      </c>
      <c r="B8" s="3" t="s">
        <v>77</v>
      </c>
      <c r="C8" s="2" t="s">
        <v>80</v>
      </c>
      <c r="D8" s="11" t="n">
        <v>1.23231098938861E-016</v>
      </c>
      <c r="E8" s="11" t="n">
        <v>0.372665260412901</v>
      </c>
      <c r="F8" s="11" t="n">
        <v>0.627334739587099</v>
      </c>
      <c r="G8" s="2" t="n">
        <v>0.591813</v>
      </c>
      <c r="H8" s="2" t="n">
        <v>1.947646</v>
      </c>
      <c r="I8" s="2" t="n">
        <v>2.196363</v>
      </c>
    </row>
    <row r="9" customFormat="false" ht="12.8" hidden="false" customHeight="false" outlineLevel="0" collapsed="false">
      <c r="A9" s="2" t="s">
        <v>115</v>
      </c>
      <c r="B9" s="3" t="s">
        <v>116</v>
      </c>
      <c r="C9" s="2" t="s">
        <v>80</v>
      </c>
      <c r="D9" s="11" t="n">
        <v>3.31969088701663E-013</v>
      </c>
      <c r="E9" s="11" t="n">
        <v>0.129471227255393</v>
      </c>
      <c r="F9" s="11" t="n">
        <v>0.870528772744275</v>
      </c>
      <c r="G9" s="2" t="n">
        <v>0.63648</v>
      </c>
      <c r="H9" s="2" t="n">
        <v>1.903414</v>
      </c>
      <c r="I9" s="2" t="n">
        <v>2.176742</v>
      </c>
    </row>
    <row r="10" customFormat="false" ht="12.8" hidden="false" customHeight="false" outlineLevel="0" collapsed="false">
      <c r="A10" s="2" t="s">
        <v>117</v>
      </c>
      <c r="B10" s="3" t="s">
        <v>118</v>
      </c>
      <c r="C10" s="2" t="s">
        <v>80</v>
      </c>
      <c r="D10" s="11" t="n">
        <v>1.82305832615091E-013</v>
      </c>
      <c r="E10" s="11" t="n">
        <v>0.0510995732216302</v>
      </c>
      <c r="F10" s="11" t="n">
        <v>0.948900426778187</v>
      </c>
      <c r="G10" s="2" t="n">
        <v>0.784363</v>
      </c>
      <c r="H10" s="2" t="n">
        <v>1.821331</v>
      </c>
      <c r="I10" s="2" t="n">
        <v>2.087216</v>
      </c>
    </row>
    <row r="11" customFormat="false" ht="12.8" hidden="false" customHeight="false" outlineLevel="0" collapsed="false">
      <c r="A11" s="2" t="s">
        <v>119</v>
      </c>
      <c r="B11" s="3" t="s">
        <v>120</v>
      </c>
      <c r="C11" s="2" t="s">
        <v>80</v>
      </c>
      <c r="D11" s="11" t="n">
        <v>1.11022302462516E-016</v>
      </c>
      <c r="E11" s="11" t="n">
        <v>1.66533453693773E-016</v>
      </c>
      <c r="F11" s="11" t="n">
        <v>1</v>
      </c>
      <c r="G11" s="2" t="n">
        <v>0.83156</v>
      </c>
      <c r="H11" s="2" t="n">
        <v>1.759246</v>
      </c>
      <c r="I11" s="2" t="n">
        <v>2.065243</v>
      </c>
    </row>
    <row r="12" customFormat="false" ht="12.8" hidden="false" customHeight="false" outlineLevel="0" collapsed="false">
      <c r="A12" s="2" t="s">
        <v>121</v>
      </c>
      <c r="B12" s="3" t="s">
        <v>122</v>
      </c>
      <c r="C12" s="2" t="s">
        <v>80</v>
      </c>
      <c r="D12" s="11" t="n">
        <v>5.55111512312578E-017</v>
      </c>
      <c r="E12" s="11" t="n">
        <v>1.11022302462516E-016</v>
      </c>
      <c r="F12" s="11" t="n">
        <v>1</v>
      </c>
      <c r="G12" s="2" t="n">
        <v>0.775059</v>
      </c>
      <c r="H12" s="2" t="n">
        <v>1.741074</v>
      </c>
      <c r="I12" s="2" t="n">
        <v>2.103197</v>
      </c>
    </row>
    <row r="13" customFormat="false" ht="12.8" hidden="false" customHeight="false" outlineLevel="0" collapsed="false">
      <c r="A13" s="2" t="s">
        <v>123</v>
      </c>
      <c r="B13" s="3" t="s">
        <v>124</v>
      </c>
      <c r="C13" s="2" t="s">
        <v>80</v>
      </c>
      <c r="D13" s="11" t="n">
        <v>0.249547393276211</v>
      </c>
      <c r="E13" s="11" t="n">
        <v>0.399617577248537</v>
      </c>
      <c r="F13" s="11" t="n">
        <v>0.350835029475252</v>
      </c>
      <c r="G13" s="2" t="n">
        <v>0.564381</v>
      </c>
      <c r="H13" s="2" t="n">
        <v>1.855244</v>
      </c>
      <c r="I13" s="2" t="n">
        <v>2.188288</v>
      </c>
    </row>
    <row r="14" customFormat="false" ht="12.8" hidden="false" customHeight="false" outlineLevel="0" collapsed="false">
      <c r="A14" s="2" t="s">
        <v>125</v>
      </c>
      <c r="B14" s="3" t="s">
        <v>126</v>
      </c>
      <c r="C14" s="2" t="s">
        <v>80</v>
      </c>
      <c r="D14" s="11" t="n">
        <v>0.146966848441927</v>
      </c>
      <c r="E14" s="11" t="n">
        <v>0.0181957093568085</v>
      </c>
      <c r="F14" s="11" t="n">
        <v>0.834837442201265</v>
      </c>
      <c r="G14" s="2" t="n">
        <v>0.675438</v>
      </c>
      <c r="H14" s="2" t="n">
        <v>1.712715</v>
      </c>
      <c r="I14" s="2" t="n">
        <v>1.920482</v>
      </c>
    </row>
    <row r="15" customFormat="false" ht="12.8" hidden="false" customHeight="false" outlineLevel="0" collapsed="false">
      <c r="A15" s="2" t="s">
        <v>127</v>
      </c>
      <c r="B15" s="3" t="s">
        <v>128</v>
      </c>
      <c r="C15" s="2" t="s">
        <v>80</v>
      </c>
      <c r="D15" s="11" t="n">
        <v>0.225491878833552</v>
      </c>
      <c r="E15" s="11" t="n">
        <v>0.239463618608979</v>
      </c>
      <c r="F15" s="11" t="n">
        <v>0.535044502557469</v>
      </c>
      <c r="G15" s="2" t="n">
        <v>0.578802</v>
      </c>
      <c r="H15" s="2" t="n">
        <v>1.726158</v>
      </c>
      <c r="I15" s="2" t="n">
        <v>2.011463</v>
      </c>
    </row>
    <row r="16" customFormat="false" ht="12.8" hidden="false" customHeight="false" outlineLevel="0" collapsed="false">
      <c r="A16" s="2" t="s">
        <v>129</v>
      </c>
      <c r="B16" s="3" t="s">
        <v>130</v>
      </c>
      <c r="C16" s="2" t="s">
        <v>80</v>
      </c>
      <c r="D16" s="11" t="n">
        <v>0.245431174578435</v>
      </c>
      <c r="E16" s="11" t="n">
        <v>0.401550861531904</v>
      </c>
      <c r="F16" s="11" t="n">
        <v>0.353017963889662</v>
      </c>
      <c r="G16" s="2" t="n">
        <v>0.519234</v>
      </c>
      <c r="H16" s="2" t="n">
        <v>1.918491</v>
      </c>
      <c r="I16" s="2" t="n">
        <v>2.208293</v>
      </c>
    </row>
    <row r="17" customFormat="false" ht="12.8" hidden="false" customHeight="false" outlineLevel="0" collapsed="false">
      <c r="A17" s="2" t="s">
        <v>131</v>
      </c>
      <c r="B17" s="3" t="s">
        <v>132</v>
      </c>
      <c r="C17" s="2" t="s">
        <v>80</v>
      </c>
      <c r="D17" s="11" t="n">
        <v>0.277356056970491</v>
      </c>
      <c r="E17" s="11" t="n">
        <v>0.554892128486152</v>
      </c>
      <c r="F17" s="11" t="n">
        <v>0.167751814543356</v>
      </c>
      <c r="G17" s="2" t="n">
        <v>0.487774</v>
      </c>
      <c r="H17" s="2" t="n">
        <v>2.006152</v>
      </c>
      <c r="I17" s="2" t="n">
        <v>2.277218</v>
      </c>
    </row>
    <row r="18" customFormat="false" ht="12.8" hidden="false" customHeight="false" outlineLevel="0" collapsed="false">
      <c r="A18" s="2" t="s">
        <v>133</v>
      </c>
      <c r="B18" s="3" t="s">
        <v>134</v>
      </c>
      <c r="C18" s="2" t="s">
        <v>80</v>
      </c>
      <c r="D18" s="11" t="n">
        <v>0.087648216329556</v>
      </c>
      <c r="E18" s="11" t="n">
        <v>0.744436083987624</v>
      </c>
      <c r="F18" s="11" t="n">
        <v>0.16791569968282</v>
      </c>
      <c r="G18" s="2" t="n">
        <v>0.456849</v>
      </c>
      <c r="H18" s="2" t="n">
        <v>2.105752</v>
      </c>
      <c r="I18" s="2" t="n">
        <v>2.390068</v>
      </c>
    </row>
    <row r="19" customFormat="false" ht="12.8" hidden="false" customHeight="false" outlineLevel="0" collapsed="false">
      <c r="A19" s="2" t="s">
        <v>135</v>
      </c>
      <c r="B19" s="3" t="s">
        <v>136</v>
      </c>
      <c r="C19" s="2" t="s">
        <v>80</v>
      </c>
      <c r="D19" s="11" t="n">
        <v>4.83934632242195E-016</v>
      </c>
      <c r="E19" s="11" t="n">
        <v>0.838637769235204</v>
      </c>
      <c r="F19" s="11" t="n">
        <v>0.161362230764795</v>
      </c>
      <c r="G19" s="2" t="n">
        <v>0.43358</v>
      </c>
      <c r="H19" s="2" t="n">
        <v>2.184272</v>
      </c>
      <c r="I19" s="2" t="n">
        <v>2.47523</v>
      </c>
    </row>
    <row r="20" customFormat="false" ht="12.8" hidden="false" customHeight="false" outlineLevel="0" collapsed="false">
      <c r="A20" s="2" t="s">
        <v>137</v>
      </c>
      <c r="B20" s="3" t="s">
        <v>138</v>
      </c>
      <c r="C20" s="2" t="s">
        <v>80</v>
      </c>
      <c r="D20" s="11" t="n">
        <v>4.55191440096314E-015</v>
      </c>
      <c r="E20" s="11" t="n">
        <v>0.999999999999998</v>
      </c>
      <c r="F20" s="11" t="n">
        <v>2.4980018054066E-015</v>
      </c>
      <c r="G20" s="2" t="n">
        <v>0.413775</v>
      </c>
      <c r="H20" s="2" t="n">
        <v>2.408577</v>
      </c>
      <c r="I20" s="2" t="n">
        <v>2.730295</v>
      </c>
    </row>
    <row r="21" customFormat="false" ht="12.8" hidden="false" customHeight="false" outlineLevel="0" collapsed="false">
      <c r="A21" s="2" t="s">
        <v>139</v>
      </c>
      <c r="B21" s="3" t="s">
        <v>140</v>
      </c>
      <c r="C21" s="2" t="s">
        <v>80</v>
      </c>
      <c r="D21" s="11" t="n">
        <v>2.60902410786912E-015</v>
      </c>
      <c r="E21" s="11" t="n">
        <v>0.999999999999998</v>
      </c>
      <c r="F21" s="11" t="n">
        <v>3.33066907387547E-016</v>
      </c>
      <c r="G21" s="2" t="n">
        <v>0.372746</v>
      </c>
      <c r="H21" s="2" t="n">
        <v>2.402114</v>
      </c>
      <c r="I21" s="2" t="n">
        <v>2.683662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4403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2026-08-02T21:32:36Z</dcterms:created>
  <dc:creator/>
  <dc:description/>
  <dc:language>en-US</dc:language>
  <cp:lastModifiedBy/>
  <dcterms:modified xsi:type="dcterms:W3CDTF">2026-08-07T10:48:08Z</dcterms:modified>
  <cp:revision>10</cp:revision>
  <dc:subject/>
  <dc:title/>
</cp:coreProperties>
</file>